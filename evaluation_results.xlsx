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Σύνοψη" sheetId="1" state="visible" r:id="rId3"/>
    <sheet name="Ανά περιγραφή" sheetId="2" state="visible" r:id="rId4"/>
  </sheets>
  <definedNames>
    <definedName function="false" hidden="true" localSheetId="1" name="_xlnm._FilterDatabase" vbProcedure="false">'Ανά περιγραφή'!$A$1:$N$31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<sst xmlns="http://schemas.openxmlformats.org/spreadsheetml/2006/main" count="276" uniqueCount="194">
  <si>
    <t xml:space="preserve">Αξιολόγηση — Αντίστροφο Λεξικό έναντι LLM</t>
  </si>
  <si>
    <t xml:space="preserve">30 περιγραφές ελέγχου. Θέση = σε ποια θέση της δεκάδας βγήκε η σωστή λέξη (κενό = δεν βγήκε). Οι τιμές υπολογίζονται από το φύλλο «Ανά περιγραφή».</t>
  </si>
  <si>
    <t xml:space="preserve">LLM: ChatGPT και Gemini (δωρεάν, χωρίς σύνδεση), 22/10/2026 — χωρίς πρόσβαση στο λεξικό, ίδιο prompt. Λεξικό: intfloat/multilingual-e5-large (ONNX).</t>
  </si>
  <si>
    <t xml:space="preserve">Ομάδα</t>
  </si>
  <si>
    <t xml:space="preserve">Πλήθος</t>
  </si>
  <si>
    <t xml:space="preserve">Λεξικό: σωστή 1η</t>
  </si>
  <si>
    <t xml:space="preserve">Λεξικό: στις 10</t>
  </si>
  <si>
    <t xml:space="preserve">ChatGPT: σωστή 1η</t>
  </si>
  <si>
    <t xml:space="preserve">ChatGPT: στις 10</t>
  </si>
  <si>
    <t xml:space="preserve">Gemini: σωστή 1η</t>
  </si>
  <si>
    <t xml:space="preserve">Gemini: στις 10</t>
  </si>
  <si>
    <t xml:space="preserve">Σύνολο</t>
  </si>
  <si>
    <t xml:space="preserve">Χωρίς τις 4 «ίδιας ρίζας»</t>
  </si>
  <si>
    <t xml:space="preserve">Εύκολες</t>
  </si>
  <si>
    <t xml:space="preserve">Μέτριες</t>
  </si>
  <si>
    <t xml:space="preserve">Δύσκολες</t>
  </si>
  <si>
    <t xml:space="preserve">Ουσιαστικά</t>
  </si>
  <si>
    <t xml:space="preserve">Επίθετα</t>
  </si>
  <si>
    <t xml:space="preserve">Ρήματα</t>
  </si>
  <si>
    <t xml:space="preserve">Λέξεις που υπάρχουν στο λεξικό — ChatGPT</t>
  </si>
  <si>
    <t xml:space="preserve">Οι υπόλοιπες είναι κυρίως μετοχές, θηλυκοί τύποι ή φράσεις, αλλά και λέξεις που δεν υπάρχουν (π.χ. «ταχυδρόμης», «αιμοδοτούχος», «αυτοδιδάκτωρ», «καθρεπτίζουσα») ή ξένες («pastrychef»).</t>
  </si>
  <si>
    <t xml:space="preserve">Λέξεις που υπάρχουν στο λεξικό — Gemini</t>
  </si>
  <si>
    <t xml:space="preserve">#</t>
  </si>
  <si>
    <t xml:space="preserve">Λέξη-στόχος</t>
  </si>
  <si>
    <t xml:space="preserve">Περιγραφή</t>
  </si>
  <si>
    <t xml:space="preserve">Είδος</t>
  </si>
  <si>
    <t xml:space="preserve">Δυσκολία</t>
  </si>
  <si>
    <t xml:space="preserve">Ίδια ρίζα</t>
  </si>
  <si>
    <t xml:space="preserve">Θέση — λεξικό</t>
  </si>
  <si>
    <t xml:space="preserve">Θέση — ChatGPT</t>
  </si>
  <si>
    <t xml:space="preserve">Θέση — Gemini</t>
  </si>
  <si>
    <t xml:space="preserve">10 πρώτες — λεξικό</t>
  </si>
  <si>
    <t xml:space="preserve">10 πρώτες — ChatGPT</t>
  </si>
  <si>
    <t xml:space="preserve">10 πρώτες — Gemini</t>
  </si>
  <si>
    <t xml:space="preserve">ChatGPT: λέξεις που υπάρχουν στο λεξικό (από 10)</t>
  </si>
  <si>
    <t xml:space="preserve">Gemini: λέξεις που υπάρχουν στο λεξικό (από 10)</t>
  </si>
  <si>
    <t xml:space="preserve">καρέκλα</t>
  </si>
  <si>
    <t xml:space="preserve">Αντικείμενο που καθόμαστε, με τέσσερα συνήθως πόδια</t>
  </si>
  <si>
    <t xml:space="preserve">Ουσιαστικό</t>
  </si>
  <si>
    <t xml:space="preserve">Εύκολη</t>
  </si>
  <si>
    <t xml:space="preserve">όχι</t>
  </si>
  <si>
    <t xml:space="preserve">τετράποδος, τρίποδας, καρέκλα, τετραθέσιος, τραπέζι, τετράπλευρος, τρίποδο, ράχη, τετράγωνος, τετράφυλλος</t>
  </si>
  <si>
    <t xml:space="preserve">καρέκλα, σκαμνί, πολυθρόνα, κάθισμα, θρόνος, πάγκος, σκαμπό, έδρα, καναπές, πολυθρονάκι</t>
  </si>
  <si>
    <t xml:space="preserve">καρέκλα, κάθισμα, πολυθρόνα, σκαμπό, παγκάκι, θρανίο, ανάκλιντρο, θρόνος, ντιβάνι, έδρανο</t>
  </si>
  <si>
    <t xml:space="preserve">κουτάλι</t>
  </si>
  <si>
    <t xml:space="preserve">Αντικείμενο που χρησιμοποιείται από τον άνθρωπο για κατανάλωση τροφών</t>
  </si>
  <si>
    <t xml:space="preserve">τρόφιμο, φαγητό, στόμα, καταναλώσιμος, σκεύος, πιάτο, μπουκιά, αναλωτός, καταναλωτικός, τσιμπολόγημα</t>
  </si>
  <si>
    <t xml:space="preserve">πιρούνι, κουτάλι, πιάτο, μαχαίρι, ποτήρι, μπολ, κύπελλο, καλαμάκι, τσοπστίκ, κουτάλα</t>
  </si>
  <si>
    <t xml:space="preserve">πιρούνι, κουτάλι, μαχαιροπίρουνο, πιάτο, μαχαίρι, κουτάλα, πιρουνάκι, μπoλ, σκεύος, τσιμπίδα</t>
  </si>
  <si>
    <t xml:space="preserve">ρολόι</t>
  </si>
  <si>
    <t xml:space="preserve">Συσκευή που δείχνει την ώρα</t>
  </si>
  <si>
    <t xml:space="preserve">ρολόι, ώρα, ωρολόγιο, ρολόγι, χρονόμετρο, εκεί, ωροδείκτης, κοντά, βασίλεμα, ημεροδείκτης</t>
  </si>
  <si>
    <t xml:space="preserve">ρολόι, χρονόμετρο, ξυπνητήρι, χρονογράφος, ρολόι χειρός, ρολόι τοίχου, κλεψύδρα, ηλιακός, ψηφιακός, χρονομετρητής</t>
  </si>
  <si>
    <t xml:space="preserve">ρολόι, χρονόμετρο, ξυπνητήρι, κλεψύδρα, ωροδείκτης, χρονογράφος, ηλιοτρόπιο, ωρολόγιο, κούκος, χρονομέτρης</t>
  </si>
  <si>
    <t xml:space="preserve">φούρνος</t>
  </si>
  <si>
    <t xml:space="preserve">Το κατάστημα που παράγει και πουλάει είδη αρτοποιίας ή η συσκευή που χρησιμοποιείται για μαγείρεμα τροφών</t>
  </si>
  <si>
    <t xml:space="preserve">αρτοπωλείο, αρτοζαχαροπλαστείο, αρτοβιομηχανία, αλλαντοπωλείο, αρωματοπωλείο, αρτοποιία, αρτοπώλης, αρωματοποιία, φούρνος, αρωματοποιείο</t>
  </si>
  <si>
    <t xml:space="preserve">φούρνος, αρτοποιείο, φουρνάρης, αρτοποιός, ζαχαροπλαστείο, μαγειρείο, κουζίνα, εστία, αρτοπωλείο, κλίβανος</t>
  </si>
  <si>
    <t xml:space="preserve">φούρνος, αρτοποιείο, αρτοπωλείο, κλίβανος, ψησταριά, εστία, κουζίνα, καρβουνιάρα, αρτοκλίβανος, γάστρα</t>
  </si>
  <si>
    <t xml:space="preserve">ταχυδρόμος</t>
  </si>
  <si>
    <t xml:space="preserve">Ο άνθρωπος που έχει ως επάγγελμα την παράδοση γραμμάτων κατ΄οίκον</t>
  </si>
  <si>
    <t xml:space="preserve">γραμματοκομιστής, λιβελογράφος, γράφω, γραφικός, τυπογράφος, συναξαριστής, δελτιογράφος, ευθυμογράφος, εθναπόστολος, εκδότης</t>
  </si>
  <si>
    <t xml:space="preserve">ταχυδρόμος, διανομέας, επιστολοφόρος, αγγελιοφόρος, κούριερ, ταχυμεταφορέας, γραμματοκομιστής, διαβιβαστής, ταχυδρόμης, μεταφορέας</t>
  </si>
  <si>
    <t xml:space="preserve">ταχυδρόμος, διανομέας, κλητήρας, αγγελιοφόρος, γραμματοκομιστής, ταχυμεταφορέας, κούριερ, επιστολοφόρος, ταχυδρόμης, κομιστής</t>
  </si>
  <si>
    <t xml:space="preserve">ζαχαροπλάστης</t>
  </si>
  <si>
    <t xml:space="preserve">Ο άνθρωπος που έχει ως επάγγελμα την παρασκευή γλυκισμάτων</t>
  </si>
  <si>
    <t xml:space="preserve">γλυκατζής, ζαχαροπλάστης, πατσατζής, ζαχαροπλαστική, εργολάβος, αρωματοποιός, αλλαντοποιός, γλυκός, λουκουματζής, κοσμηματοποιός</t>
  </si>
  <si>
    <t xml:space="preserve">ζαχαροπλάστης, γλυκοποιός, pastrychef, αρτοποιός, μάγειρας, σεφ, confectioner, σοκολατοποιός, πατισιέρης, χαλβαδοποιός</t>
  </si>
  <si>
    <t xml:space="preserve">ζαχαροπλάστης, γλυκισματοποιός, αρτοζαχαροπλάστης, σοκολατοποιός, μάγειρας, σεφ, σιροπιαστής, παγωτοποιός, παρασκευαστής, τεχνίτης</t>
  </si>
  <si>
    <t xml:space="preserve">χορτάτος</t>
  </si>
  <si>
    <t xml:space="preserve">Αυτός που δεν πεινάει, που έχει ήδη φάει</t>
  </si>
  <si>
    <t xml:space="preserve">Επίθετο</t>
  </si>
  <si>
    <t xml:space="preserve">νηστικός, αφάγωτος, αφούντωτος, αχόρταστος, ανήστευτος, ακατούρητος, αζούπηχτος, αδίψαστος, λαίμαργος, άπηχτος</t>
  </si>
  <si>
    <t xml:space="preserve">χορτάτος, κορεσμένος, πλήρης, φαγωμένος, χορτασμένος, ευχαριστημένος, ικανοποιημένος, χορταστικός, γεμάτος, υπερσιτισμένος</t>
  </si>
  <si>
    <t xml:space="preserve">χορτάτος, χορτασμένος, πλήρης, κορεσμένος, φουσκωμένος, ταϊσμένος, σιτισμένος, βεβαρυμένος, βουλιμικός, βαρύς</t>
  </si>
  <si>
    <t xml:space="preserve">κολυμπώ</t>
  </si>
  <si>
    <t xml:space="preserve">Το σύνολο των κινήσεων που κάνω για να κινηθώ βρισκόμενος μέσα σε έναν μεγάλο όγκο υγρού στοιχείου</t>
  </si>
  <si>
    <t xml:space="preserve">Ρήμα</t>
  </si>
  <si>
    <t xml:space="preserve">μισοβυθίζομαι, νοτίζω, πλατσουρίζω, κυκλοφορώ, διοχετεύω, επιπλέω, βουτάω, ανακινώ, κατάποση, βυθίζω</t>
  </si>
  <si>
    <t xml:space="preserve">κολύμπι, κολύμβηση, πλεύση, κολυμβητική, βουτιά, κατάδυση, νευροσπασμός, υδροκίνηση, κωπηλασία, πλοήγηση</t>
  </si>
  <si>
    <t xml:space="preserve">κολύμπι, κολύμβηση, πλεύση, επίπλευση, μακροβούτι, βουτιά, κατάδυση, ναυσιπλοΐα, κολυμβητική, πλατσούρισμα</t>
  </si>
  <si>
    <t xml:space="preserve">ξενυχτώ</t>
  </si>
  <si>
    <t xml:space="preserve">Κοιμάμαι αργά το βράδυ ή δεν κοιμάμαι καθόλου</t>
  </si>
  <si>
    <t xml:space="preserve">κακοκοιμάμαι, ξενυχτώ, λαγοκοιμάμαι, βρικολακιάζω, κοιμάμαι, κοιμίζω, υπνοβατώ, βραδιάζω, νυκτοβατώ, ξαγρυπνώ</t>
  </si>
  <si>
    <t xml:space="preserve">ξενυχτώ, αγρυπνώ, αϋπνώ, ξαγρυπνώ, διανυκτερεύω, ολονυχτώ, παραμένω, αγρυπνάω, αργοπορώ, αϋπνίζω</t>
  </si>
  <si>
    <t xml:space="preserve">ξενυχτάω, αγρυπνώ, ξαγρυπνώ, αϋπνώ, νυχτοπατώ, ξενυχτώ, διανυκτερεύω, αποκοιμιέμαι, πλανιέμαι, ρεμβάζω</t>
  </si>
  <si>
    <t xml:space="preserve">καθρέφτης</t>
  </si>
  <si>
    <t xml:space="preserve">Γυάλινη επιφάνεια με την ιδιότητα του κατόπτρου</t>
  </si>
  <si>
    <t xml:space="preserve">Μέτρια</t>
  </si>
  <si>
    <t xml:space="preserve">γυάλα, γυάλινος, βιτρίνα, γυαλί, κάτοπτρο, καθρέφτης, γυαλιστερός, ιλουστρασιόν, υαλοειδής, κατοπτρικός</t>
  </si>
  <si>
    <t xml:space="preserve">καθρέφτης, κάτοπτρο, καθρεπτίζουσα, υαλοπίνακας, γυαλί, κρύσταλλο, καθρεπτίδιο, αντανακλαστήρας, καθρεφτάκι, κατοπτρική</t>
  </si>
  <si>
    <t xml:space="preserve">καθρέφτης, κάτοπτρο, καθρεφτάκι, είδωλο, γυαλί, υαλοπίνακας, ανακλαστήρας, κρύσταλλο, τζάμι, πρίσμα</t>
  </si>
  <si>
    <t xml:space="preserve">φάρος</t>
  </si>
  <si>
    <t xml:space="preserve">Παραθαλάσσιο υψηλό και κυλινδρικό κτίσμα που στην κορυφή εκπέμπει φως για προειδοποίηση εγγύς στεριάς προς τα διερχόμενα πλοία</t>
  </si>
  <si>
    <t xml:space="preserve">ακτή, θάλασσα, κατάπλους, ψηλά, Υψηλότητα, αβίζο, καστέλι, περίπτερο, ναυπήγημα, ντοκ</t>
  </si>
  <si>
    <t xml:space="preserve">φάρος, φανός, φανάρια, φανόπυργος, πυρσός, φωτοσημαντήρας, φανόσημο, σηματοδότης, πύργος, φωτοφάρος</t>
  </si>
  <si>
    <t xml:space="preserve">φάρος, φανοστάτης, φανάρι, πυρσός, παρατηρητήριο, σήμαντρο, φυλάκιο, πύργος, σηματοφόρος, βίγλα</t>
  </si>
  <si>
    <t xml:space="preserve">ζήλια</t>
  </si>
  <si>
    <t xml:space="preserve">Η αίσθηση κτητικότητας ή η αναστάτωση που προκύπτει όταν θα θέλαμε να είμαστε εμείς στη θέση κάποιου με επιτεύγματα</t>
  </si>
  <si>
    <t xml:space="preserve">ανασφάλεια, ζηλεύω, νιώθω, αγωνία, αίσθημα, ακτημοσύνη, ζω, κολακεύω, συγκινημένος, αξίωση</t>
  </si>
  <si>
    <t xml:space="preserve">ζήλια, φθόνος, ζηλοφθονία, ζήλεια, φθονερότητα, επιθυμία, απληστία, ανταγωνισμός, πικρία, δυσαρέσκεια</t>
  </si>
  <si>
    <t xml:space="preserve">ζήλια, φθόνος, ζηλοτυπία, εμπάθεια, μοχθηρία, μικροπρέπεια, κακοπιστία, πικρία, κακεντρέχεια, ανταγωνισμός</t>
  </si>
  <si>
    <t xml:space="preserve">κληρονομιά</t>
  </si>
  <si>
    <t xml:space="preserve">Η περιουσία που αφήνει κάποιος που πέθανε στους απόγονους του</t>
  </si>
  <si>
    <t xml:space="preserve">κληρονομιά, αφήνω, κληροδοσία, γράφω, διαθήκη, κληροδότης, κληροδοτώ, κληροδότημα, κληρονομία, απόκληρος</t>
  </si>
  <si>
    <t xml:space="preserve">κληρονομιά, κληροδότημα, κληρονομία, περιουσία, παρακαταθήκη, κατάλοιπο, κληροδότημα, κληροδότηση, παραχώρηση, διαδοχή</t>
  </si>
  <si>
    <t xml:space="preserve">κληρονομιά, κληροδότημα, περιουσία, κληρονομικότητα, κατάλοιπο, κτήμα, διαθήκη, αποθεματικό, παρακαταθήκη, παρακαταθήκη</t>
  </si>
  <si>
    <t xml:space="preserve">αμνησία</t>
  </si>
  <si>
    <t xml:space="preserve">Ξεχνάω συχνά γεγονότα που γνωρίζω ή έχω ζήσει</t>
  </si>
  <si>
    <t xml:space="preserve">θυμίζω, ξέρω, θυμάμαι, ξαναβλέπω, υπόψη, ενθυμούμαι, σκέφτομαι, ξεχνώ, σημειώνω, πρωτοθυμάμαι</t>
  </si>
  <si>
    <t xml:space="preserve">ξεχνώ, λησμονώ, αφηρημάδα, αμνησία, λησμονιά, επιλησμοσύνη, απροσεξία, αφηρημένος, ασθενής, αμνημονία</t>
  </si>
  <si>
    <t xml:space="preserve">ξεχνάω, λησμονώ, παραλείπω, παραβλέπω, αφαιρούμαι, απολησμονώ, αποπροσανατολίζομαι, παρανοώ, αμελώ, απωθώ</t>
  </si>
  <si>
    <t xml:space="preserve">ηλιοβασίλεμα</t>
  </si>
  <si>
    <t xml:space="preserve">Η δύση του ηλίου στον ορίζοντα</t>
  </si>
  <si>
    <t xml:space="preserve">ναι</t>
  </si>
  <si>
    <t xml:space="preserve">δύση, βασίλεμα, ηλιοβασίλεμα, γέρμα, λιόγερμα, δειλινό, ημέρα, ήλιος, δύω, ξημερώνω</t>
  </si>
  <si>
    <t xml:space="preserve">ηλιοβασίλεμα, δύση, δειλινό, βασίλεμα, ηλιοδύση, σούρουπο, λυκόφως, εσπέρα, απόβραδο, δύσμα</t>
  </si>
  <si>
    <t xml:space="preserve">ηλιοβασίλεμα, δύση, δειλινό, εσπέρα, σούρουπο, ηλιόγερμα, λυκόφως, απογευματινό, απόβραδο, γέρμα</t>
  </si>
  <si>
    <t xml:space="preserve">εθελοντής</t>
  </si>
  <si>
    <t xml:space="preserve">Αυτός που οικειοθελώς αναλαμβάνει μια εργασία υποβοήθησης άλλου ή μια εργασία για έναν κοινωνικό σκοπό</t>
  </si>
  <si>
    <t xml:space="preserve">εθελοντής, εθελοντικός, συνεργάτης, λειτουργός, ανθρωπιστικός, βοηθός, συμπαραστάτης, βοηθηματούχος, υποβοηθώ, συνεισφέρω</t>
  </si>
  <si>
    <t xml:space="preserve">εθελοντής, εθελόντρια, εθελοντικός, αρωγός, βοηθός, συμπαραστάτης, αλληλέγγυος, συνδρομητής, χορηγός, υποστηρικτής</t>
  </si>
  <si>
    <t xml:space="preserve">εθελοντής, συμπαραστάτης, αρωγός, βοηθός, ευεργέτης, αλληλέγγυος, δωρητής, ακτιβιστής, συνδράμων, λειτουργός</t>
  </si>
  <si>
    <t xml:space="preserve">πείσμα</t>
  </si>
  <si>
    <t xml:space="preserve">Η επιθυμία να μην παρατάς το στόχο σου παρά τις δυσκολίες ή η εμμονή στην άποψη σου ανεξαρτήτως δίκαιου</t>
  </si>
  <si>
    <t xml:space="preserve">εννοώ, επιμένω, διατηρώ, επιμονή, επίμονος, κρατώ, ναι, φιρί, συνεχίζω, σκληρός</t>
  </si>
  <si>
    <t xml:space="preserve">επιμονή, πείσμα, εμμονή, επιμονότητα, ισχυρογνωμοσύνη, ξεροκεφαλιά, αποφασιστικότητα, επιμονικότητα, αδιαλλαξία, προσήλωση</t>
  </si>
  <si>
    <t xml:space="preserve">πείσμα, επιμονή, ισχυρογνωμοσύνη, πεισματάρικο, ξεροκεφαλιά, προσήλωση, εμμονή, καρτερία, φανατισμός, δογματισμός</t>
  </si>
  <si>
    <t xml:space="preserve">ντροπαλός</t>
  </si>
  <si>
    <t xml:space="preserve">Αυτός που ντρέπεται</t>
  </si>
  <si>
    <t xml:space="preserve">ντροπιαστικός, χλευαστής, σκευωρός, ντρέπομαι, θλιμμένος, ντροπή, περίλυπος, λογοκόπος, διαφθορέας, πρεσβύωπας</t>
  </si>
  <si>
    <t xml:space="preserve">ντροπαλός, συνεσταλμένος, δειλός, σεμνός, αμήχανος, συστολικός, ντροπαίνω, ερυθριών, αιδήμων, εσωστρεφής</t>
  </si>
  <si>
    <t xml:space="preserve">ντροπαλός, συνεσταλμένος, ντροπιασμένος, δειλός, εσωστρεφής, επιφυλακτικός, άτολμος, συστολικός, μετριόφρων, ανασφαλής</t>
  </si>
  <si>
    <t xml:space="preserve">μοναχικός</t>
  </si>
  <si>
    <t xml:space="preserve">Αυτός που δεν επιθυμεί την ανθρώπινη παρέα</t>
  </si>
  <si>
    <t xml:space="preserve">ανθρωποφοβία, αντικοινωνικός, απάτητος, ερημίτης, τεμπέλης, αμπαρώνω, άβγαλτος, ανθρωπόφοβος, μισάνθρωπος, ακοινώνητος</t>
  </si>
  <si>
    <t xml:space="preserve">μοναχικός, ερημίτης, ακοινώνητος, αντικοινωνικός, εσωστρεφής, μονήρης, απόμακρος, απομονωμένος, αγοφοβικός, μισάνθρωπος</t>
  </si>
  <si>
    <t xml:space="preserve">αντικοινωνικός, μονήρης, μοναχικός, μισάνθρωπος, ιδιόρρυθμος, απόμακρος, απρόσιτος, μοναχοπαίδι, αγέλαστος, αναχωρητής</t>
  </si>
  <si>
    <t xml:space="preserve">ψιθυρίζω</t>
  </si>
  <si>
    <t xml:space="preserve">Μιλάω πολύ σιγά</t>
  </si>
  <si>
    <t xml:space="preserve">σιγομουρμουρίζω, ψιθυρίζω, σιγά, μουρμουρίζω, τερετίζω, σιγοκελαηδώ, αργοσβήνω, λεπταίνω, αργοκυλώ, σιγοτραγουδώ</t>
  </si>
  <si>
    <t xml:space="preserve">ψιθυρίζω, μουρμουρίζω, σιγομιλώ, ψελλίζω, ψιθυρολογώ, υποτονίζω, χαμηλομιλώ, μονολογώ, ψιθυρίζομαι, γρυλίζω</t>
  </si>
  <si>
    <t xml:space="preserve">ψιθυρίζω, σιγομιλάω, μουρμουρίζω, σιγοτραγουδώ, καταλαλώ, συλλαβίζω, υποφωνώ, γογγύζω, μυστικοπαθώ, τραυλίζω</t>
  </si>
  <si>
    <t xml:space="preserve">αναβάλλω</t>
  </si>
  <si>
    <t xml:space="preserve">Μεταθέτω τις εργασίες μου για το μέλλον</t>
  </si>
  <si>
    <t xml:space="preserve">μεταθέτω, αναβάλλω, αργάζω, μετάθεση, λέω, κλείνω, περιμένω, γράφω, χρονογραφώ, βραδιάζω</t>
  </si>
  <si>
    <t xml:space="preserve">αναβάλλω, χρονοτριβώ, καθυστερώ, αναστέλλω, μεταθέτω, παραπέμπω, κωλυσιεργώ, ολιγωρώ, procrastinάρω, παρελκύω</t>
  </si>
  <si>
    <t xml:space="preserve">αναβάλλω, χρονοτριβώ, καθυστερώ, παραπέμπω, κωλυσιεργώ, μεταθέτω, αναστέλλω, ολιγωρώ, παρατείνω, βραδυπορώ</t>
  </si>
  <si>
    <t xml:space="preserve">παραιτούμαι</t>
  </si>
  <si>
    <t xml:space="preserve">Φεύγω, απομακρύνομαι οριστικά από μια εργασία ή μια κατάσταση</t>
  </si>
  <si>
    <t xml:space="preserve">φεύγω, ξεκόβω, αποφεύγω, καταφεύγω, απομακρύνω, αποχωρώ, διαφεύγω, εγκαταλείπω, βγαίνω, βγάζω</t>
  </si>
  <si>
    <t xml:space="preserve">παραιτούμαι, αποχωρώ, εγκαταλείπω, αποσύρομαι, αποχωρίζομαι, απεμπλέκομαι, αποδεσμεύομαι, αποστρατεύομαι, απομακρύνομαι, παραιτούμαι</t>
  </si>
  <si>
    <t xml:space="preserve">παραιτούμαι, αποχωρώ, εγκαταλείπω, απομακρύνομαι, αποσυμπλέκομαι, φεύγω, αποδημώ, αποσύρομαι, απεμπλέκομαι, δραπετεύω</t>
  </si>
  <si>
    <t xml:space="preserve">αιμοδότης</t>
  </si>
  <si>
    <t xml:space="preserve">Αυτός που δίνει αίμα</t>
  </si>
  <si>
    <t xml:space="preserve">Δύσκολη</t>
  </si>
  <si>
    <t xml:space="preserve">αιμοδότης, αιμοδοσία, αιμομίκτης, αιματηρός, αιμοδοτικός, δότης, αίμα, δωρητής, αιμάτινος, μυροφόρος</t>
  </si>
  <si>
    <t xml:space="preserve">αιμοδότης, δότης, αιμοδότρια, δωρητής, εθελοντής, αιμοδοτικός, αιματοδότης, χορηγός, αιμοδωρητής, αιμοδοτούχος</t>
  </si>
  <si>
    <t xml:space="preserve">αιμοδότης, δότης, εθελοντής, αιμοδοτών, δωρητής, προσφορέας, μεταγγιστής, βοηθός, παρέχων, συμπαραστάτης</t>
  </si>
  <si>
    <t xml:space="preserve">μεγαλομανία</t>
  </si>
  <si>
    <t xml:space="preserve">Η πεποίθηση πως το άτομο είναι ανώτερο από όλα τα υπόλοιπα</t>
  </si>
  <si>
    <t xml:space="preserve">υψηλοφροσύνη, είναι, προτιμώ, νοημοσύνη, ανωτερότητα, επάνω, κυρίως, μεγαλοπιάνομαι, υπεροψία, υπερήφανος</t>
  </si>
  <si>
    <t xml:space="preserve">εγωισμός, ναρκισσισμός, αλαζονεία, υπεροψία, μεγαλομανία, εγωκεντρισμός, υπεροχή, ατομικισμός, φιλαυτία, αυταρέσκεια</t>
  </si>
  <si>
    <t xml:space="preserve">εγωισμός, μεγαλομανία, υπεροψία, εγωκεντρισμός, ναρκισσισμός, έπαρση, αυταρέσκεια, αλαζονεία, οίηση, υπεροχή</t>
  </si>
  <si>
    <t xml:space="preserve">λιποτάκτης</t>
  </si>
  <si>
    <t xml:space="preserve">Στρατιώτης που δεν εκπληρώνει την υποχρεωτική θητεία του</t>
  </si>
  <si>
    <t xml:space="preserve">φυγόστρατος, στρατεύσιμος, οπλίτης, στράτευση, στρατιωτικός, λιποτάκτης, αστρατολόγητος, κληρωτός, στρατιώτης, εθελοντής</t>
  </si>
  <si>
    <t xml:space="preserve">ανυπότακτος, λιποτάκτης, φυγόστρατος, ανυπότακτος, λιποτάκτης, στρατιώτης, φυγόπονος, απείθαρχος, δραπέτης, αντιρρησίας</t>
  </si>
  <si>
    <t xml:space="preserve">λιποτάκτης, ανυπότακτος, φυγάς, φυγόστρατος, αποστάτης, ριψάσπις, ανυπάκουος, απών, δραπέτης, παραβάτης</t>
  </si>
  <si>
    <t xml:space="preserve">αναχρονισμός</t>
  </si>
  <si>
    <t xml:space="preserve">Το μπέρδεμα της ιστορικής σειράς των γεγονότων</t>
  </si>
  <si>
    <t xml:space="preserve">κυκεώνας, παραδοξότητα, μπέρδεμα, ιστορία, παραδρομή, μυθιστορία, ιστορικός, σκηνή, διχοστασία, ξανά</t>
  </si>
  <si>
    <t xml:space="preserve">αναχρονισμός, αναχρονία, χρονική ανακολουθία, χρονική σύγχυση, χρονολογική σύγχυση, αναδρομή, αναχρονιστικότητα, ασυγχρονία, παραχρονισμός, χρονική ασυνέπεια</t>
  </si>
  <si>
    <t xml:space="preserve">αναχρονισμός, παραδρομή, σύγχυση, ανακάτεμα, παραποίηση, αποπροσανατολισμός, ανακολουθία, αταξία, μετάθεση, αλλοίωση</t>
  </si>
  <si>
    <t xml:space="preserve">φιλάργυρος</t>
  </si>
  <si>
    <t xml:space="preserve">Αυτός που αγαπάει το χρήμα</t>
  </si>
  <si>
    <t xml:space="preserve">φιλάργυρος, φιλοχρήματος, φιλοχρηματία, φιλοκερδής, παραδόπιστος, υλιστής, αφιλοχρήματος, βαστώ, χρηματικός, λεφτά</t>
  </si>
  <si>
    <t xml:space="preserve">φιλάργυρος, φιλοχρήματος, τσιγκούνης, φιλοχρηματίας, πλεονέκτης, άπληστος, φιλοκερδής, κερδοσκόπος, φιλάργυρη, χρηματολάτρης</t>
  </si>
  <si>
    <t xml:space="preserve">φιλάργυρος, πλεονέκτης, φιλοχρήματος, άπληστος, αργυρολόγος, συμφεροντολόγος, τοκογλύφος, σπαγγοραμμένος, μαμμωνιστής, καρμίρης</t>
  </si>
  <si>
    <t xml:space="preserve">εφήμερος</t>
  </si>
  <si>
    <t xml:space="preserve">Αυτός που διαρκεί για λίγο, που δεν είναι διαχρονικός</t>
  </si>
  <si>
    <t xml:space="preserve">σύντομος, πρόσκαιρος, προσωρινός, ολιγόχρονος, βραχυχρόνιος, περαστικός, στιγμιαίος, μεταβατικός, φευγαλέος, βραχύβιος</t>
  </si>
  <si>
    <t xml:space="preserve">εφήμερος, παροδικός, πρόσκαιρος, προσωρινός, βραχύβιος, στιγμιαίος, φευγαλέος, περαστικός, μεταβατικός, βραχύχρονος</t>
  </si>
  <si>
    <t xml:space="preserve">εφήμερος, προσωρινός, παροδικός, φθαρτός, ολιγοήμερος, στιγμιαίος, πρόσκαιρος, βραχύβιος, φευγαλέος, περαστικός</t>
  </si>
  <si>
    <t xml:space="preserve">αυτοδίδακτος</t>
  </si>
  <si>
    <t xml:space="preserve">Αυτός που δίδαξε στον εαυτό του κάποια δεξιότητα</t>
  </si>
  <si>
    <t xml:space="preserve">αυτοδίδακτος, τεχνικός, μαθημένος, αδίδακτος, αυτοδιδασκαλία, δεξιοτεχνία, μορφωμένος, διδάξας, αυτοχειροτόνητος, δάσκαλος</t>
  </si>
  <si>
    <t xml:space="preserve">αυτοδίδακτος, αυτομαθής, αυτοεκπαιδευμένος, αυτομορφωμένος, αυτοδίδακτη, αυτοδιδασκόμενος, αυτοδιδάκτωρ, αυτοεκπαιδευόμενος, αυτοκαλλιεργημένος, αυτομόρφωτος</t>
  </si>
  <si>
    <t xml:space="preserve">αυτοδίδακτος, αυτενεργός, αυτόφωτος, εμπειρικός, ιδιοφυής, πρακτικός, αυτοσχέδιος, αυτοδημιούργητος, μελετηρός, αυτεπάγγελτος</t>
  </si>
  <si>
    <t xml:space="preserve">επαμφοτερίζω</t>
  </si>
  <si>
    <t xml:space="preserve">Έρχομαι και παρέρχομαι, αλλάζω γνώμη ανάλογα με την κατάσταση</t>
  </si>
  <si>
    <t xml:space="preserve">λέω, επανέρχομαι, περιέρχομαι, βρίσκω, παλαντζάρω, μιλώ, κάνω, έρχομαι, ποικίλλω, αντιγνωμώ</t>
  </si>
  <si>
    <t xml:space="preserve">αμφιταλαντεύομαι, παλινδρομώ, μεταστρέφομαι, αμφιβάλλω, μεταβάλλομαι, ταλαντεύομαι, αναποφασίζω, μεταπηδώ, προσαρμόζομαι, ελίσσομαι</t>
  </si>
  <si>
    <t xml:space="preserve">παλινωδώ, αμφιταλαντεύομαι, μεταστρέφομαι, μεταβάλλομαι, καιροσκοπώ, κλονίζομαι, διακυμαίνομαι, μεταπείθομαι, μεταλλάσσομαι, διστάζω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</si>
</sst>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BEBEB"/>
      </patternFill>
    </fill>
    <fill>
      <patternFill patternType="solid">
        <fgColor rgb="FFE5F4E4"/>
        <bgColor rgb="FFFBEBEB"/>
      </patternFill>
    </fill>
    <fill>
      <patternFill patternType="solid">
        <fgColor rgb="FFFBEBEB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5F4E4"/>
          <bgColor rgb="FF000000"/>
        </patternFill>
      </fill>
    </dxf>
    <dxf>
      <fill>
        <patternFill patternType="solid">
          <fgColor rgb="FFFBEBEB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BEB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5F4E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9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26.8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customFormat="false" ht="15" hidden="false" customHeight="false" outlineLevel="0" collapsed="false">
      <c r="A6" s="4" t="s">
        <v>11</v>
      </c>
      <c r="B6" s="4" t="n">
        <f aca="false">COUNTA('Ανά περιγραφή'!$B$2:$B$31)</f>
        <v>30</v>
      </c>
      <c r="C6" s="5" t="n">
        <f aca="false">COUNTIF('Ανά περιγραφή'!$G$2:$G$31,1)/B6</f>
        <v>0.2</v>
      </c>
      <c r="D6" s="5" t="n">
        <f aca="false">COUNT('Ανά περιγραφή'!$G$2:$G$31)/B6</f>
        <v>0.5</v>
      </c>
      <c r="E6" s="5" t="n">
        <f aca="false">COUNTIF('Ανά περιγραφή'!$H$2:$H$31,1)/B6</f>
        <v>0.766666666666667</v>
      </c>
      <c r="F6" s="5" t="n">
        <f aca="false">COUNT('Ανά περιγραφή'!$H$2:$H$31)/B6</f>
        <v>0.933333333333333</v>
      </c>
      <c r="G6" s="5" t="n">
        <f aca="false">COUNTIF('Ανά περιγραφή'!$I$2:$I$31,1)/B6</f>
        <v>0.8</v>
      </c>
      <c r="H6" s="5" t="n">
        <f aca="false">COUNT('Ανά περιγραφή'!$I$2:$I$31)/B6</f>
        <v>0.9</v>
      </c>
    </row>
    <row r="7" customFormat="false" ht="15" hidden="false" customHeight="false" outlineLevel="0" collapsed="false">
      <c r="A7" s="6" t="s">
        <v>12</v>
      </c>
      <c r="B7" s="6" t="n">
        <f aca="false">COUNTIF('Ανά περιγραφή'!$F$2:$F$31,"όχι")</f>
        <v>26</v>
      </c>
      <c r="C7" s="7" t="n">
        <f aca="false">COUNTIFS('Ανά περιγραφή'!$F$2:$F$31,"όχι",'Ανά περιγραφή'!$G$2:$G$31,1)/B7</f>
        <v>0.153846153846154</v>
      </c>
      <c r="D7" s="7" t="n">
        <f aca="false">COUNTIFS('Ανά περιγραφή'!$F$2:$F$31,"όχι",'Ανά περιγραφή'!$G$2:$G$31,"&lt;&gt;")/B7</f>
        <v>0.461538461538462</v>
      </c>
      <c r="E7" s="7" t="n">
        <f aca="false">COUNTIFS('Ανά περιγραφή'!$F$2:$F$31,"όχι",'Ανά περιγραφή'!$H$2:$H$31,1)/B7</f>
        <v>0.730769230769231</v>
      </c>
      <c r="F7" s="7" t="n">
        <f aca="false">COUNTIFS('Ανά περιγραφή'!$F$2:$F$31,"όχι",'Ανά περιγραφή'!$H$2:$H$31,"&lt;&gt;")/B7</f>
        <v>0.923076923076923</v>
      </c>
      <c r="G7" s="7" t="n">
        <f aca="false">COUNTIFS('Ανά περιγραφή'!$F$2:$F$31,"όχι",'Ανά περιγραφή'!$I$2:$I$31,1)/B7</f>
        <v>0.769230769230769</v>
      </c>
      <c r="H7" s="7" t="n">
        <f aca="false">COUNTIFS('Ανά περιγραφή'!$F$2:$F$31,"όχι",'Ανά περιγραφή'!$I$2:$I$31,"&lt;&gt;")/B7</f>
        <v>0.884615384615385</v>
      </c>
    </row>
    <row r="8" customFormat="false" ht="15" hidden="false" customHeight="false" outlineLevel="0" collapsed="false">
      <c r="A8" s="6" t="s">
        <v>13</v>
      </c>
      <c r="B8" s="6" t="n">
        <f aca="false">COUNTIF('Ανά περιγραφή'!$E$2:$E$31,"Εύκολη")</f>
        <v>9</v>
      </c>
      <c r="C8" s="7" t="n">
        <f aca="false">COUNTIFS('Ανά περιγραφή'!$E$2:$E$31,"Εύκολη",'Ανά περιγραφή'!$G$2:$G$31,1)/B8</f>
        <v>0.111111111111111</v>
      </c>
      <c r="D8" s="7" t="n">
        <f aca="false">COUNTIFS('Ανά περιγραφή'!$E$2:$E$31,"Εύκολη",'Ανά περιγραφή'!$G$2:$G$31,"&lt;&gt;")/B8</f>
        <v>0.555555555555556</v>
      </c>
      <c r="E8" s="7" t="n">
        <f aca="false">COUNTIFS('Ανά περιγραφή'!$E$2:$E$31,"Εύκολη",'Ανά περιγραφή'!$H$2:$H$31,1)/B8</f>
        <v>0.777777777777778</v>
      </c>
      <c r="F8" s="7" t="n">
        <f aca="false">COUNTIFS('Ανά περιγραφή'!$E$2:$E$31,"Εύκολη",'Ανά περιγραφή'!$H$2:$H$31,"&lt;&gt;")/B8</f>
        <v>0.888888888888889</v>
      </c>
      <c r="G8" s="7" t="n">
        <f aca="false">COUNTIFS('Ανά περιγραφή'!$E$2:$E$31,"Εύκολη",'Ανά περιγραφή'!$I$2:$I$31,1)/B8</f>
        <v>0.777777777777778</v>
      </c>
      <c r="H8" s="7" t="n">
        <f aca="false">COUNTIFS('Ανά περιγραφή'!$E$2:$E$31,"Εύκολη",'Ανά περιγραφή'!$I$2:$I$31,"&lt;&gt;")/B8</f>
        <v>0.888888888888889</v>
      </c>
    </row>
    <row r="9" customFormat="false" ht="15" hidden="false" customHeight="false" outlineLevel="0" collapsed="false">
      <c r="A9" s="6" t="s">
        <v>14</v>
      </c>
      <c r="B9" s="6" t="n">
        <f aca="false">COUNTIF('Ανά περιγραφή'!$E$2:$E$31,"Μέτρια")</f>
        <v>13</v>
      </c>
      <c r="C9" s="7" t="n">
        <f aca="false">COUNTIFS('Ανά περιγραφή'!$E$2:$E$31,"Μέτρια",'Ανά περιγραφή'!$G$2:$G$31,1)/B9</f>
        <v>0.153846153846154</v>
      </c>
      <c r="D9" s="7" t="n">
        <f aca="false">COUNTIFS('Ανά περιγραφή'!$E$2:$E$31,"Μέτρια",'Ανά περιγραφή'!$G$2:$G$31,"&lt;&gt;")/B9</f>
        <v>0.461538461538462</v>
      </c>
      <c r="E9" s="7" t="n">
        <f aca="false">COUNTIFS('Ανά περιγραφή'!$E$2:$E$31,"Μέτρια",'Ανά περιγραφή'!$H$2:$H$31,1)/B9</f>
        <v>0.846153846153846</v>
      </c>
      <c r="F9" s="7" t="n">
        <f aca="false">COUNTIFS('Ανά περιγραφή'!$E$2:$E$31,"Μέτρια",'Ανά περιγραφή'!$H$2:$H$31,"&lt;&gt;")/B9</f>
        <v>1</v>
      </c>
      <c r="G9" s="7" t="n">
        <f aca="false">COUNTIFS('Ανά περιγραφή'!$E$2:$E$31,"Μέτρια",'Ανά περιγραφή'!$I$2:$I$31,1)/B9</f>
        <v>0.846153846153846</v>
      </c>
      <c r="H9" s="7" t="n">
        <f aca="false">COUNTIFS('Ανά περιγραφή'!$E$2:$E$31,"Μέτρια",'Ανά περιγραφή'!$I$2:$I$31,"&lt;&gt;")/B9</f>
        <v>0.923076923076923</v>
      </c>
    </row>
    <row r="10" customFormat="false" ht="15" hidden="false" customHeight="false" outlineLevel="0" collapsed="false">
      <c r="A10" s="6" t="s">
        <v>15</v>
      </c>
      <c r="B10" s="6" t="n">
        <f aca="false">COUNTIF('Ανά περιγραφή'!$E$2:$E$31,"Δύσκολη")</f>
        <v>8</v>
      </c>
      <c r="C10" s="7" t="n">
        <f aca="false">COUNTIFS('Ανά περιγραφή'!$E$2:$E$31,"Δύσκολη",'Ανά περιγραφή'!$G$2:$G$31,1)/B10</f>
        <v>0.375</v>
      </c>
      <c r="D10" s="7" t="n">
        <f aca="false">COUNTIFS('Ανά περιγραφή'!$E$2:$E$31,"Δύσκολη",'Ανά περιγραφή'!$G$2:$G$31,"&lt;&gt;")/B10</f>
        <v>0.5</v>
      </c>
      <c r="E10" s="7" t="n">
        <f aca="false">COUNTIFS('Ανά περιγραφή'!$E$2:$E$31,"Δύσκολη",'Ανά περιγραφή'!$H$2:$H$31,1)/B10</f>
        <v>0.625</v>
      </c>
      <c r="F10" s="7" t="n">
        <f aca="false">COUNTIFS('Ανά περιγραφή'!$E$2:$E$31,"Δύσκολη",'Ανά περιγραφή'!$H$2:$H$31,"&lt;&gt;")/B10</f>
        <v>0.875</v>
      </c>
      <c r="G10" s="7" t="n">
        <f aca="false">COUNTIFS('Ανά περιγραφή'!$E$2:$E$31,"Δύσκολη",'Ανά περιγραφή'!$I$2:$I$31,1)/B10</f>
        <v>0.75</v>
      </c>
      <c r="H10" s="7" t="n">
        <f aca="false">COUNTIFS('Ανά περιγραφή'!$E$2:$E$31,"Δύσκολη",'Ανά περιγραφή'!$I$2:$I$31,"&lt;&gt;")/B10</f>
        <v>0.875</v>
      </c>
    </row>
    <row r="11" customFormat="false" ht="15" hidden="false" customHeight="false" outlineLevel="0" collapsed="false">
      <c r="A11" s="6" t="s">
        <v>16</v>
      </c>
      <c r="B11" s="6" t="n">
        <f aca="false">COUNTIF('Ανά περιγραφή'!$D$2:$D$31,"Ουσιαστικό")</f>
        <v>18</v>
      </c>
      <c r="C11" s="7" t="n">
        <f aca="false">COUNTIFS('Ανά περιγραφή'!$D$2:$D$31,"Ουσιαστικό",'Ανά περιγραφή'!$G$2:$G$31,1)/B11</f>
        <v>0.222222222222222</v>
      </c>
      <c r="D11" s="7" t="n">
        <f aca="false">COUNTIFS('Ανά περιγραφή'!$D$2:$D$31,"Ουσιαστικό",'Ανά περιγραφή'!$G$2:$G$31,"&lt;&gt;")/B11</f>
        <v>0.555555555555556</v>
      </c>
      <c r="E11" s="7" t="n">
        <f aca="false">COUNTIFS('Ανά περιγραφή'!$D$2:$D$31,"Ουσιαστικό",'Ανά περιγραφή'!$H$2:$H$31,1)/B11</f>
        <v>0.722222222222222</v>
      </c>
      <c r="F11" s="7" t="n">
        <f aca="false">COUNTIFS('Ανά περιγραφή'!$D$2:$D$31,"Ουσιαστικό",'Ανά περιγραφή'!$H$2:$H$31,"&lt;&gt;")/B11</f>
        <v>1</v>
      </c>
      <c r="G11" s="7" t="n">
        <f aca="false">COUNTIFS('Ανά περιγραφή'!$D$2:$D$31,"Ουσιαστικό",'Ανά περιγραφή'!$I$2:$I$31,1)/B11</f>
        <v>0.833333333333333</v>
      </c>
      <c r="H11" s="7" t="n">
        <f aca="false">COUNTIFS('Ανά περιγραφή'!$D$2:$D$31,"Ουσιαστικό",'Ανά περιγραφή'!$I$2:$I$31,"&lt;&gt;")/B11</f>
        <v>0.944444444444444</v>
      </c>
    </row>
    <row r="12" customFormat="false" ht="15" hidden="false" customHeight="false" outlineLevel="0" collapsed="false">
      <c r="A12" s="6" t="s">
        <v>17</v>
      </c>
      <c r="B12" s="6" t="n">
        <f aca="false">COUNTIF('Ανά περιγραφή'!$D$2:$D$31,"Επίθετο")</f>
        <v>6</v>
      </c>
      <c r="C12" s="7" t="n">
        <f aca="false">COUNTIFS('Ανά περιγραφή'!$D$2:$D$31,"Επίθετο",'Ανά περιγραφή'!$G$2:$G$31,1)/B12</f>
        <v>0.333333333333333</v>
      </c>
      <c r="D12" s="7" t="n">
        <f aca="false">COUNTIFS('Ανά περιγραφή'!$D$2:$D$31,"Επίθετο",'Ανά περιγραφή'!$G$2:$G$31,"&lt;&gt;")/B12</f>
        <v>0.333333333333333</v>
      </c>
      <c r="E12" s="7" t="n">
        <f aca="false">COUNTIFS('Ανά περιγραφή'!$D$2:$D$31,"Επίθετο",'Ανά περιγραφή'!$H$2:$H$31,1)/B12</f>
        <v>1</v>
      </c>
      <c r="F12" s="7" t="n">
        <f aca="false">COUNTIFS('Ανά περιγραφή'!$D$2:$D$31,"Επίθετο",'Ανά περιγραφή'!$H$2:$H$31,"&lt;&gt;")/B12</f>
        <v>1</v>
      </c>
      <c r="G12" s="7" t="n">
        <f aca="false">COUNTIFS('Ανά περιγραφή'!$D$2:$D$31,"Επίθετο",'Ανά περιγραφή'!$I$2:$I$31,1)/B12</f>
        <v>0.833333333333333</v>
      </c>
      <c r="H12" s="7" t="n">
        <f aca="false">COUNTIFS('Ανά περιγραφή'!$D$2:$D$31,"Επίθετο",'Ανά περιγραφή'!$I$2:$I$31,"&lt;&gt;")/B12</f>
        <v>1</v>
      </c>
    </row>
    <row r="13" customFormat="false" ht="15" hidden="false" customHeight="false" outlineLevel="0" collapsed="false">
      <c r="A13" s="6" t="s">
        <v>18</v>
      </c>
      <c r="B13" s="6" t="n">
        <f aca="false">COUNTIF('Ανά περιγραφή'!$D$2:$D$31,"Ρήμα")</f>
        <v>6</v>
      </c>
      <c r="C13" s="7" t="n">
        <f aca="false">COUNTIFS('Ανά περιγραφή'!$D$2:$D$31,"Ρήμα",'Ανά περιγραφή'!$G$2:$G$31,1)/B13</f>
        <v>0</v>
      </c>
      <c r="D13" s="7" t="n">
        <f aca="false">COUNTIFS('Ανά περιγραφή'!$D$2:$D$31,"Ρήμα",'Ανά περιγραφή'!$G$2:$G$31,"&lt;&gt;")/B13</f>
        <v>0.5</v>
      </c>
      <c r="E13" s="7" t="n">
        <f aca="false">COUNTIFS('Ανά περιγραφή'!$D$2:$D$31,"Ρήμα",'Ανά περιγραφή'!$H$2:$H$31,1)/B13</f>
        <v>0.666666666666667</v>
      </c>
      <c r="F13" s="7" t="n">
        <f aca="false">COUNTIFS('Ανά περιγραφή'!$D$2:$D$31,"Ρήμα",'Ανά περιγραφή'!$H$2:$H$31,"&lt;&gt;")/B13</f>
        <v>0.666666666666667</v>
      </c>
      <c r="G13" s="7" t="n">
        <f aca="false">COUNTIFS('Ανά περιγραφή'!$D$2:$D$31,"Ρήμα",'Ανά περιγραφή'!$I$2:$I$31,1)/B13</f>
        <v>0.666666666666667</v>
      </c>
      <c r="H13" s="7" t="n">
        <f aca="false">COUNTIFS('Ανά περιγραφή'!$D$2:$D$31,"Ρήμα",'Ανά περιγραφή'!$I$2:$I$31,"&lt;&gt;")/B13</f>
        <v>0.666666666666667</v>
      </c>
    </row>
    <row r="15" customFormat="false" ht="15" hidden="false" customHeight="false" outlineLevel="0" collapsed="false">
      <c r="A15" s="8" t="s">
        <v>19</v>
      </c>
      <c r="B15" s="9" t="n">
        <f aca="false">SUM('Ανά περιγραφή'!$M$2:$M$31)/(10*B6)</f>
        <v>0.693333333333333</v>
      </c>
    </row>
    <row r="16" customFormat="false" ht="15" hidden="false" customHeight="false" outlineLevel="0" collapsed="false">
      <c r="A16" s="2" t="s">
        <v>20</v>
      </c>
    </row>
    <row r="17" customFormat="false" ht="15" hidden="false" customHeight="false" outlineLevel="0" collapsed="false">
      <c r="A17" s="8" t="s">
        <v>21</v>
      </c>
      <c r="B17" s="9" t="n">
        <f aca="false">SUM('Ανά περιγραφή'!$N$2:$N$31)/(10*B6)</f>
        <v>0.816666666666667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46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9" min="7" style="0" width="10"/>
    <col collapsed="false" customWidth="true" hidden="false" outlineLevel="0" max="12" min="10" style="0" width="44"/>
    <col collapsed="false" customWidth="true" hidden="false" outlineLevel="0" max="14" min="13" style="0" width="14"/>
  </cols>
  <sheetData>
    <row r="1" customFormat="false" ht="64.9" hidden="false" customHeight="false" outlineLevel="0" collapsed="false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  <c r="N1" s="3" t="s">
        <v>35</v>
      </c>
    </row>
    <row r="2" customFormat="false" ht="39.55" hidden="false" customHeight="false" outlineLevel="0" collapsed="false">
      <c r="A2" s="10" t="n">
        <v>1</v>
      </c>
      <c r="B2" s="10" t="s">
        <v>36</v>
      </c>
      <c r="C2" s="10" t="s">
        <v>37</v>
      </c>
      <c r="D2" s="10" t="s">
        <v>38</v>
      </c>
      <c r="E2" s="10" t="s">
        <v>39</v>
      </c>
      <c r="F2" s="10" t="s">
        <v>40</v>
      </c>
      <c r="G2" s="11" t="n">
        <v>3</v>
      </c>
      <c r="H2" s="12" t="n">
        <v>1</v>
      </c>
      <c r="I2" s="12" t="n">
        <v>1</v>
      </c>
      <c r="J2" s="10" t="s">
        <v>41</v>
      </c>
      <c r="K2" s="10" t="s">
        <v>42</v>
      </c>
      <c r="L2" s="10" t="s">
        <v>43</v>
      </c>
      <c r="M2" s="10" t="n">
        <v>9</v>
      </c>
      <c r="N2" s="10" t="n">
        <v>10</v>
      </c>
    </row>
    <row r="3" customFormat="false" ht="39.55" hidden="false" customHeight="false" outlineLevel="0" collapsed="false">
      <c r="A3" s="10" t="n">
        <v>2</v>
      </c>
      <c r="B3" s="10" t="s">
        <v>44</v>
      </c>
      <c r="C3" s="10" t="s">
        <v>45</v>
      </c>
      <c r="D3" s="10" t="s">
        <v>38</v>
      </c>
      <c r="E3" s="10" t="s">
        <v>39</v>
      </c>
      <c r="F3" s="10" t="s">
        <v>40</v>
      </c>
      <c r="G3" s="13"/>
      <c r="H3" s="11" t="n">
        <v>2</v>
      </c>
      <c r="I3" s="11" t="n">
        <v>2</v>
      </c>
      <c r="J3" s="10" t="s">
        <v>46</v>
      </c>
      <c r="K3" s="10" t="s">
        <v>47</v>
      </c>
      <c r="L3" s="10" t="s">
        <v>48</v>
      </c>
      <c r="M3" s="10" t="n">
        <v>8</v>
      </c>
      <c r="N3" s="10" t="n">
        <v>8</v>
      </c>
    </row>
    <row r="4" customFormat="false" ht="39.55" hidden="false" customHeight="false" outlineLevel="0" collapsed="false">
      <c r="A4" s="10" t="n">
        <v>3</v>
      </c>
      <c r="B4" s="10" t="s">
        <v>49</v>
      </c>
      <c r="C4" s="10" t="s">
        <v>50</v>
      </c>
      <c r="D4" s="10" t="s">
        <v>38</v>
      </c>
      <c r="E4" s="10" t="s">
        <v>39</v>
      </c>
      <c r="F4" s="10" t="s">
        <v>40</v>
      </c>
      <c r="G4" s="12" t="n">
        <v>1</v>
      </c>
      <c r="H4" s="12" t="n">
        <v>1</v>
      </c>
      <c r="I4" s="12" t="n">
        <v>1</v>
      </c>
      <c r="J4" s="10" t="s">
        <v>51</v>
      </c>
      <c r="K4" s="10" t="s">
        <v>52</v>
      </c>
      <c r="L4" s="10" t="s">
        <v>53</v>
      </c>
      <c r="M4" s="10" t="n">
        <v>7</v>
      </c>
      <c r="N4" s="10" t="n">
        <v>10</v>
      </c>
    </row>
    <row r="5" customFormat="false" ht="52.2" hidden="false" customHeight="false" outlineLevel="0" collapsed="false">
      <c r="A5" s="10" t="n">
        <v>4</v>
      </c>
      <c r="B5" s="10" t="s">
        <v>54</v>
      </c>
      <c r="C5" s="10" t="s">
        <v>55</v>
      </c>
      <c r="D5" s="10" t="s">
        <v>38</v>
      </c>
      <c r="E5" s="10" t="s">
        <v>39</v>
      </c>
      <c r="F5" s="10" t="s">
        <v>40</v>
      </c>
      <c r="G5" s="11" t="n">
        <v>9</v>
      </c>
      <c r="H5" s="12" t="n">
        <v>1</v>
      </c>
      <c r="I5" s="12" t="n">
        <v>1</v>
      </c>
      <c r="J5" s="10" t="s">
        <v>56</v>
      </c>
      <c r="K5" s="10" t="s">
        <v>57</v>
      </c>
      <c r="L5" s="10" t="s">
        <v>58</v>
      </c>
      <c r="M5" s="10" t="n">
        <v>10</v>
      </c>
      <c r="N5" s="10" t="n">
        <v>9</v>
      </c>
    </row>
    <row r="6" customFormat="false" ht="52.2" hidden="false" customHeight="false" outlineLevel="0" collapsed="false">
      <c r="A6" s="10" t="n">
        <v>5</v>
      </c>
      <c r="B6" s="10" t="s">
        <v>59</v>
      </c>
      <c r="C6" s="10" t="s">
        <v>60</v>
      </c>
      <c r="D6" s="10" t="s">
        <v>38</v>
      </c>
      <c r="E6" s="10" t="s">
        <v>39</v>
      </c>
      <c r="F6" s="10" t="s">
        <v>40</v>
      </c>
      <c r="G6" s="13"/>
      <c r="H6" s="12" t="n">
        <v>1</v>
      </c>
      <c r="I6" s="12" t="n">
        <v>1</v>
      </c>
      <c r="J6" s="10" t="s">
        <v>61</v>
      </c>
      <c r="K6" s="10" t="s">
        <v>62</v>
      </c>
      <c r="L6" s="10" t="s">
        <v>63</v>
      </c>
      <c r="M6" s="10" t="n">
        <v>6</v>
      </c>
      <c r="N6" s="10" t="n">
        <v>6</v>
      </c>
    </row>
    <row r="7" customFormat="false" ht="52.2" hidden="false" customHeight="false" outlineLevel="0" collapsed="false">
      <c r="A7" s="10" t="n">
        <v>6</v>
      </c>
      <c r="B7" s="10" t="s">
        <v>64</v>
      </c>
      <c r="C7" s="10" t="s">
        <v>65</v>
      </c>
      <c r="D7" s="10" t="s">
        <v>38</v>
      </c>
      <c r="E7" s="10" t="s">
        <v>39</v>
      </c>
      <c r="F7" s="10" t="s">
        <v>40</v>
      </c>
      <c r="G7" s="11" t="n">
        <v>2</v>
      </c>
      <c r="H7" s="12" t="n">
        <v>1</v>
      </c>
      <c r="I7" s="12" t="n">
        <v>1</v>
      </c>
      <c r="J7" s="10" t="s">
        <v>66</v>
      </c>
      <c r="K7" s="10" t="s">
        <v>67</v>
      </c>
      <c r="L7" s="10" t="s">
        <v>68</v>
      </c>
      <c r="M7" s="10" t="n">
        <v>4</v>
      </c>
      <c r="N7" s="10" t="n">
        <v>5</v>
      </c>
    </row>
    <row r="8" customFormat="false" ht="52.2" hidden="false" customHeight="false" outlineLevel="0" collapsed="false">
      <c r="A8" s="10" t="n">
        <v>7</v>
      </c>
      <c r="B8" s="10" t="s">
        <v>69</v>
      </c>
      <c r="C8" s="10" t="s">
        <v>70</v>
      </c>
      <c r="D8" s="10" t="s">
        <v>71</v>
      </c>
      <c r="E8" s="10" t="s">
        <v>39</v>
      </c>
      <c r="F8" s="10" t="s">
        <v>40</v>
      </c>
      <c r="G8" s="13"/>
      <c r="H8" s="12" t="n">
        <v>1</v>
      </c>
      <c r="I8" s="12" t="n">
        <v>1</v>
      </c>
      <c r="J8" s="10" t="s">
        <v>72</v>
      </c>
      <c r="K8" s="10" t="s">
        <v>73</v>
      </c>
      <c r="L8" s="10" t="s">
        <v>74</v>
      </c>
      <c r="M8" s="10" t="n">
        <v>4</v>
      </c>
      <c r="N8" s="10" t="n">
        <v>5</v>
      </c>
    </row>
    <row r="9" customFormat="false" ht="39.55" hidden="false" customHeight="false" outlineLevel="0" collapsed="false">
      <c r="A9" s="10" t="n">
        <v>8</v>
      </c>
      <c r="B9" s="10" t="s">
        <v>75</v>
      </c>
      <c r="C9" s="10" t="s">
        <v>76</v>
      </c>
      <c r="D9" s="10" t="s">
        <v>77</v>
      </c>
      <c r="E9" s="10" t="s">
        <v>39</v>
      </c>
      <c r="F9" s="10" t="s">
        <v>40</v>
      </c>
      <c r="G9" s="13"/>
      <c r="H9" s="13"/>
      <c r="I9" s="13"/>
      <c r="J9" s="10" t="s">
        <v>78</v>
      </c>
      <c r="K9" s="10" t="s">
        <v>79</v>
      </c>
      <c r="L9" s="10" t="s">
        <v>80</v>
      </c>
      <c r="M9" s="10" t="n">
        <v>7</v>
      </c>
      <c r="N9" s="10" t="n">
        <v>8</v>
      </c>
    </row>
    <row r="10" customFormat="false" ht="39.55" hidden="false" customHeight="false" outlineLevel="0" collapsed="false">
      <c r="A10" s="10" t="n">
        <v>9</v>
      </c>
      <c r="B10" s="10" t="s">
        <v>81</v>
      </c>
      <c r="C10" s="10" t="s">
        <v>82</v>
      </c>
      <c r="D10" s="10" t="s">
        <v>77</v>
      </c>
      <c r="E10" s="10" t="s">
        <v>39</v>
      </c>
      <c r="F10" s="10" t="s">
        <v>40</v>
      </c>
      <c r="G10" s="11" t="n">
        <v>2</v>
      </c>
      <c r="H10" s="12" t="n">
        <v>1</v>
      </c>
      <c r="I10" s="12" t="n">
        <v>1</v>
      </c>
      <c r="J10" s="10" t="s">
        <v>83</v>
      </c>
      <c r="K10" s="10" t="s">
        <v>84</v>
      </c>
      <c r="L10" s="10" t="s">
        <v>85</v>
      </c>
      <c r="M10" s="10" t="n">
        <v>6</v>
      </c>
      <c r="N10" s="10" t="n">
        <v>6</v>
      </c>
    </row>
    <row r="11" customFormat="false" ht="39.55" hidden="false" customHeight="false" outlineLevel="0" collapsed="false">
      <c r="A11" s="10" t="n">
        <v>10</v>
      </c>
      <c r="B11" s="10" t="s">
        <v>86</v>
      </c>
      <c r="C11" s="10" t="s">
        <v>87</v>
      </c>
      <c r="D11" s="10" t="s">
        <v>38</v>
      </c>
      <c r="E11" s="10" t="s">
        <v>88</v>
      </c>
      <c r="F11" s="10" t="s">
        <v>40</v>
      </c>
      <c r="G11" s="11" t="n">
        <v>6</v>
      </c>
      <c r="H11" s="12" t="n">
        <v>1</v>
      </c>
      <c r="I11" s="12" t="n">
        <v>1</v>
      </c>
      <c r="J11" s="10" t="s">
        <v>89</v>
      </c>
      <c r="K11" s="10" t="s">
        <v>90</v>
      </c>
      <c r="L11" s="10" t="s">
        <v>91</v>
      </c>
      <c r="M11" s="10" t="n">
        <v>5</v>
      </c>
      <c r="N11" s="10" t="n">
        <v>9</v>
      </c>
    </row>
    <row r="12" customFormat="false" ht="39.55" hidden="false" customHeight="false" outlineLevel="0" collapsed="false">
      <c r="A12" s="10" t="n">
        <v>11</v>
      </c>
      <c r="B12" s="10" t="s">
        <v>92</v>
      </c>
      <c r="C12" s="10" t="s">
        <v>93</v>
      </c>
      <c r="D12" s="10" t="s">
        <v>38</v>
      </c>
      <c r="E12" s="10" t="s">
        <v>88</v>
      </c>
      <c r="F12" s="10" t="s">
        <v>40</v>
      </c>
      <c r="G12" s="13"/>
      <c r="H12" s="12" t="n">
        <v>1</v>
      </c>
      <c r="I12" s="12" t="n">
        <v>1</v>
      </c>
      <c r="J12" s="10" t="s">
        <v>94</v>
      </c>
      <c r="K12" s="10" t="s">
        <v>95</v>
      </c>
      <c r="L12" s="10" t="s">
        <v>96</v>
      </c>
      <c r="M12" s="10" t="n">
        <v>5</v>
      </c>
      <c r="N12" s="10" t="n">
        <v>9</v>
      </c>
    </row>
    <row r="13" customFormat="false" ht="39.55" hidden="false" customHeight="false" outlineLevel="0" collapsed="false">
      <c r="A13" s="10" t="n">
        <v>12</v>
      </c>
      <c r="B13" s="10" t="s">
        <v>97</v>
      </c>
      <c r="C13" s="10" t="s">
        <v>98</v>
      </c>
      <c r="D13" s="10" t="s">
        <v>38</v>
      </c>
      <c r="E13" s="10" t="s">
        <v>88</v>
      </c>
      <c r="F13" s="10" t="s">
        <v>40</v>
      </c>
      <c r="G13" s="13"/>
      <c r="H13" s="12" t="n">
        <v>1</v>
      </c>
      <c r="I13" s="12" t="n">
        <v>1</v>
      </c>
      <c r="J13" s="10" t="s">
        <v>99</v>
      </c>
      <c r="K13" s="10" t="s">
        <v>100</v>
      </c>
      <c r="L13" s="10" t="s">
        <v>101</v>
      </c>
      <c r="M13" s="10" t="n">
        <v>8</v>
      </c>
      <c r="N13" s="10" t="n">
        <v>10</v>
      </c>
    </row>
    <row r="14" customFormat="false" ht="52.2" hidden="false" customHeight="false" outlineLevel="0" collapsed="false">
      <c r="A14" s="10" t="n">
        <v>13</v>
      </c>
      <c r="B14" s="10" t="s">
        <v>102</v>
      </c>
      <c r="C14" s="10" t="s">
        <v>103</v>
      </c>
      <c r="D14" s="10" t="s">
        <v>38</v>
      </c>
      <c r="E14" s="10" t="s">
        <v>88</v>
      </c>
      <c r="F14" s="10" t="s">
        <v>40</v>
      </c>
      <c r="G14" s="12" t="n">
        <v>1</v>
      </c>
      <c r="H14" s="12" t="n">
        <v>1</v>
      </c>
      <c r="I14" s="12" t="n">
        <v>1</v>
      </c>
      <c r="J14" s="10" t="s">
        <v>104</v>
      </c>
      <c r="K14" s="10" t="s">
        <v>105</v>
      </c>
      <c r="L14" s="10" t="s">
        <v>106</v>
      </c>
      <c r="M14" s="10" t="n">
        <v>9</v>
      </c>
      <c r="N14" s="10" t="n">
        <v>9</v>
      </c>
    </row>
    <row r="15" customFormat="false" ht="52.2" hidden="false" customHeight="false" outlineLevel="0" collapsed="false">
      <c r="A15" s="10" t="n">
        <v>14</v>
      </c>
      <c r="B15" s="10" t="s">
        <v>107</v>
      </c>
      <c r="C15" s="10" t="s">
        <v>108</v>
      </c>
      <c r="D15" s="10" t="s">
        <v>38</v>
      </c>
      <c r="E15" s="10" t="s">
        <v>88</v>
      </c>
      <c r="F15" s="10" t="s">
        <v>40</v>
      </c>
      <c r="G15" s="13"/>
      <c r="H15" s="11" t="n">
        <v>4</v>
      </c>
      <c r="I15" s="13"/>
      <c r="J15" s="10" t="s">
        <v>109</v>
      </c>
      <c r="K15" s="10" t="s">
        <v>110</v>
      </c>
      <c r="L15" s="10" t="s">
        <v>111</v>
      </c>
      <c r="M15" s="10" t="n">
        <v>8</v>
      </c>
      <c r="N15" s="10" t="n">
        <v>7</v>
      </c>
    </row>
    <row r="16" customFormat="false" ht="39.55" hidden="false" customHeight="false" outlineLevel="0" collapsed="false">
      <c r="A16" s="10" t="n">
        <v>15</v>
      </c>
      <c r="B16" s="10" t="s">
        <v>112</v>
      </c>
      <c r="C16" s="10" t="s">
        <v>113</v>
      </c>
      <c r="D16" s="10" t="s">
        <v>38</v>
      </c>
      <c r="E16" s="10" t="s">
        <v>88</v>
      </c>
      <c r="F16" s="10" t="s">
        <v>114</v>
      </c>
      <c r="G16" s="11" t="n">
        <v>3</v>
      </c>
      <c r="H16" s="12" t="n">
        <v>1</v>
      </c>
      <c r="I16" s="12" t="n">
        <v>1</v>
      </c>
      <c r="J16" s="10" t="s">
        <v>115</v>
      </c>
      <c r="K16" s="10" t="s">
        <v>116</v>
      </c>
      <c r="L16" s="10" t="s">
        <v>117</v>
      </c>
      <c r="M16" s="10" t="n">
        <v>8</v>
      </c>
      <c r="N16" s="10" t="n">
        <v>8</v>
      </c>
    </row>
    <row r="17" customFormat="false" ht="52.2" hidden="false" customHeight="false" outlineLevel="0" collapsed="false">
      <c r="A17" s="10" t="n">
        <v>16</v>
      </c>
      <c r="B17" s="10" t="s">
        <v>118</v>
      </c>
      <c r="C17" s="10" t="s">
        <v>119</v>
      </c>
      <c r="D17" s="10" t="s">
        <v>38</v>
      </c>
      <c r="E17" s="10" t="s">
        <v>88</v>
      </c>
      <c r="F17" s="10" t="s">
        <v>40</v>
      </c>
      <c r="G17" s="12" t="n">
        <v>1</v>
      </c>
      <c r="H17" s="12" t="n">
        <v>1</v>
      </c>
      <c r="I17" s="12" t="n">
        <v>1</v>
      </c>
      <c r="J17" s="10" t="s">
        <v>120</v>
      </c>
      <c r="K17" s="10" t="s">
        <v>121</v>
      </c>
      <c r="L17" s="10" t="s">
        <v>122</v>
      </c>
      <c r="M17" s="10" t="n">
        <v>10</v>
      </c>
      <c r="N17" s="10" t="n">
        <v>9</v>
      </c>
    </row>
    <row r="18" customFormat="false" ht="52.2" hidden="false" customHeight="false" outlineLevel="0" collapsed="false">
      <c r="A18" s="10" t="n">
        <v>17</v>
      </c>
      <c r="B18" s="10" t="s">
        <v>123</v>
      </c>
      <c r="C18" s="10" t="s">
        <v>124</v>
      </c>
      <c r="D18" s="10" t="s">
        <v>38</v>
      </c>
      <c r="E18" s="10" t="s">
        <v>88</v>
      </c>
      <c r="F18" s="10" t="s">
        <v>40</v>
      </c>
      <c r="G18" s="13"/>
      <c r="H18" s="11" t="n">
        <v>2</v>
      </c>
      <c r="I18" s="12" t="n">
        <v>1</v>
      </c>
      <c r="J18" s="10" t="s">
        <v>125</v>
      </c>
      <c r="K18" s="10" t="s">
        <v>126</v>
      </c>
      <c r="L18" s="10" t="s">
        <v>127</v>
      </c>
      <c r="M18" s="10" t="n">
        <v>8</v>
      </c>
      <c r="N18" s="10" t="n">
        <v>9</v>
      </c>
    </row>
    <row r="19" customFormat="false" ht="39.55" hidden="false" customHeight="false" outlineLevel="0" collapsed="false">
      <c r="A19" s="10" t="n">
        <v>18</v>
      </c>
      <c r="B19" s="10" t="s">
        <v>128</v>
      </c>
      <c r="C19" s="10" t="s">
        <v>129</v>
      </c>
      <c r="D19" s="10" t="s">
        <v>71</v>
      </c>
      <c r="E19" s="10" t="s">
        <v>88</v>
      </c>
      <c r="F19" s="10" t="s">
        <v>114</v>
      </c>
      <c r="G19" s="13"/>
      <c r="H19" s="12" t="n">
        <v>1</v>
      </c>
      <c r="I19" s="12" t="n">
        <v>1</v>
      </c>
      <c r="J19" s="10" t="s">
        <v>130</v>
      </c>
      <c r="K19" s="10" t="s">
        <v>131</v>
      </c>
      <c r="L19" s="10" t="s">
        <v>132</v>
      </c>
      <c r="M19" s="10" t="n">
        <v>8</v>
      </c>
      <c r="N19" s="10" t="n">
        <v>9</v>
      </c>
    </row>
    <row r="20" customFormat="false" ht="52.2" hidden="false" customHeight="false" outlineLevel="0" collapsed="false">
      <c r="A20" s="10" t="n">
        <v>19</v>
      </c>
      <c r="B20" s="10" t="s">
        <v>133</v>
      </c>
      <c r="C20" s="10" t="s">
        <v>134</v>
      </c>
      <c r="D20" s="10" t="s">
        <v>71</v>
      </c>
      <c r="E20" s="10" t="s">
        <v>88</v>
      </c>
      <c r="F20" s="10" t="s">
        <v>40</v>
      </c>
      <c r="G20" s="13"/>
      <c r="H20" s="12" t="n">
        <v>1</v>
      </c>
      <c r="I20" s="11" t="n">
        <v>3</v>
      </c>
      <c r="J20" s="10" t="s">
        <v>135</v>
      </c>
      <c r="K20" s="10" t="s">
        <v>136</v>
      </c>
      <c r="L20" s="10" t="s">
        <v>137</v>
      </c>
      <c r="M20" s="10" t="n">
        <v>8</v>
      </c>
      <c r="N20" s="10" t="n">
        <v>10</v>
      </c>
    </row>
    <row r="21" customFormat="false" ht="52.2" hidden="false" customHeight="false" outlineLevel="0" collapsed="false">
      <c r="A21" s="10" t="n">
        <v>20</v>
      </c>
      <c r="B21" s="10" t="s">
        <v>138</v>
      </c>
      <c r="C21" s="10" t="s">
        <v>139</v>
      </c>
      <c r="D21" s="10" t="s">
        <v>77</v>
      </c>
      <c r="E21" s="10" t="s">
        <v>88</v>
      </c>
      <c r="F21" s="10" t="s">
        <v>40</v>
      </c>
      <c r="G21" s="11" t="n">
        <v>2</v>
      </c>
      <c r="H21" s="12" t="n">
        <v>1</v>
      </c>
      <c r="I21" s="12" t="n">
        <v>1</v>
      </c>
      <c r="J21" s="10" t="s">
        <v>140</v>
      </c>
      <c r="K21" s="10" t="s">
        <v>141</v>
      </c>
      <c r="L21" s="10" t="s">
        <v>142</v>
      </c>
      <c r="M21" s="10" t="n">
        <v>5</v>
      </c>
      <c r="N21" s="10" t="n">
        <v>6</v>
      </c>
    </row>
    <row r="22" customFormat="false" ht="52.2" hidden="false" customHeight="false" outlineLevel="0" collapsed="false">
      <c r="A22" s="10" t="n">
        <v>21</v>
      </c>
      <c r="B22" s="10" t="s">
        <v>143</v>
      </c>
      <c r="C22" s="10" t="s">
        <v>144</v>
      </c>
      <c r="D22" s="10" t="s">
        <v>77</v>
      </c>
      <c r="E22" s="10" t="s">
        <v>88</v>
      </c>
      <c r="F22" s="10" t="s">
        <v>40</v>
      </c>
      <c r="G22" s="11" t="n">
        <v>2</v>
      </c>
      <c r="H22" s="12" t="n">
        <v>1</v>
      </c>
      <c r="I22" s="12" t="n">
        <v>1</v>
      </c>
      <c r="J22" s="10" t="s">
        <v>145</v>
      </c>
      <c r="K22" s="10" t="s">
        <v>146</v>
      </c>
      <c r="L22" s="10" t="s">
        <v>147</v>
      </c>
      <c r="M22" s="10" t="n">
        <v>8</v>
      </c>
      <c r="N22" s="10" t="n">
        <v>10</v>
      </c>
    </row>
    <row r="23" customFormat="false" ht="52.2" hidden="false" customHeight="false" outlineLevel="0" collapsed="false">
      <c r="A23" s="10" t="n">
        <v>22</v>
      </c>
      <c r="B23" s="10" t="s">
        <v>148</v>
      </c>
      <c r="C23" s="10" t="s">
        <v>149</v>
      </c>
      <c r="D23" s="10" t="s">
        <v>77</v>
      </c>
      <c r="E23" s="10" t="s">
        <v>88</v>
      </c>
      <c r="F23" s="10" t="s">
        <v>40</v>
      </c>
      <c r="G23" s="13"/>
      <c r="H23" s="12" t="n">
        <v>1</v>
      </c>
      <c r="I23" s="12" t="n">
        <v>1</v>
      </c>
      <c r="J23" s="10" t="s">
        <v>150</v>
      </c>
      <c r="K23" s="10" t="s">
        <v>151</v>
      </c>
      <c r="L23" s="10" t="s">
        <v>152</v>
      </c>
      <c r="M23" s="10" t="n">
        <v>4</v>
      </c>
      <c r="N23" s="10" t="n">
        <v>6</v>
      </c>
    </row>
    <row r="24" customFormat="false" ht="39.55" hidden="false" customHeight="false" outlineLevel="0" collapsed="false">
      <c r="A24" s="10" t="n">
        <v>23</v>
      </c>
      <c r="B24" s="10" t="s">
        <v>153</v>
      </c>
      <c r="C24" s="10" t="s">
        <v>154</v>
      </c>
      <c r="D24" s="10" t="s">
        <v>38</v>
      </c>
      <c r="E24" s="10" t="s">
        <v>155</v>
      </c>
      <c r="F24" s="10" t="s">
        <v>114</v>
      </c>
      <c r="G24" s="12" t="n">
        <v>1</v>
      </c>
      <c r="H24" s="12" t="n">
        <v>1</v>
      </c>
      <c r="I24" s="12" t="n">
        <v>1</v>
      </c>
      <c r="J24" s="10" t="s">
        <v>156</v>
      </c>
      <c r="K24" s="10" t="s">
        <v>157</v>
      </c>
      <c r="L24" s="10" t="s">
        <v>158</v>
      </c>
      <c r="M24" s="10" t="n">
        <v>7</v>
      </c>
      <c r="N24" s="10" t="n">
        <v>6</v>
      </c>
    </row>
    <row r="25" customFormat="false" ht="39.55" hidden="false" customHeight="false" outlineLevel="0" collapsed="false">
      <c r="A25" s="10" t="n">
        <v>24</v>
      </c>
      <c r="B25" s="10" t="s">
        <v>159</v>
      </c>
      <c r="C25" s="10" t="s">
        <v>160</v>
      </c>
      <c r="D25" s="10" t="s">
        <v>38</v>
      </c>
      <c r="E25" s="10" t="s">
        <v>155</v>
      </c>
      <c r="F25" s="10" t="s">
        <v>40</v>
      </c>
      <c r="G25" s="13"/>
      <c r="H25" s="11" t="n">
        <v>5</v>
      </c>
      <c r="I25" s="11" t="n">
        <v>2</v>
      </c>
      <c r="J25" s="10" t="s">
        <v>161</v>
      </c>
      <c r="K25" s="10" t="s">
        <v>162</v>
      </c>
      <c r="L25" s="10" t="s">
        <v>163</v>
      </c>
      <c r="M25" s="10" t="n">
        <v>10</v>
      </c>
      <c r="N25" s="10" t="n">
        <v>10</v>
      </c>
    </row>
    <row r="26" customFormat="false" ht="52.2" hidden="false" customHeight="false" outlineLevel="0" collapsed="false">
      <c r="A26" s="10" t="n">
        <v>25</v>
      </c>
      <c r="B26" s="10" t="s">
        <v>164</v>
      </c>
      <c r="C26" s="10" t="s">
        <v>165</v>
      </c>
      <c r="D26" s="10" t="s">
        <v>38</v>
      </c>
      <c r="E26" s="10" t="s">
        <v>155</v>
      </c>
      <c r="F26" s="10" t="s">
        <v>40</v>
      </c>
      <c r="G26" s="11" t="n">
        <v>6</v>
      </c>
      <c r="H26" s="11" t="n">
        <v>2</v>
      </c>
      <c r="I26" s="12" t="n">
        <v>1</v>
      </c>
      <c r="J26" s="10" t="s">
        <v>166</v>
      </c>
      <c r="K26" s="10" t="s">
        <v>167</v>
      </c>
      <c r="L26" s="10" t="s">
        <v>168</v>
      </c>
      <c r="M26" s="10" t="n">
        <v>10</v>
      </c>
      <c r="N26" s="10" t="n">
        <v>10</v>
      </c>
    </row>
    <row r="27" customFormat="false" ht="64.9" hidden="false" customHeight="false" outlineLevel="0" collapsed="false">
      <c r="A27" s="10" t="n">
        <v>26</v>
      </c>
      <c r="B27" s="10" t="s">
        <v>169</v>
      </c>
      <c r="C27" s="10" t="s">
        <v>170</v>
      </c>
      <c r="D27" s="10" t="s">
        <v>38</v>
      </c>
      <c r="E27" s="10" t="s">
        <v>155</v>
      </c>
      <c r="F27" s="10" t="s">
        <v>40</v>
      </c>
      <c r="G27" s="13"/>
      <c r="H27" s="12" t="n">
        <v>1</v>
      </c>
      <c r="I27" s="12" t="n">
        <v>1</v>
      </c>
      <c r="J27" s="10" t="s">
        <v>171</v>
      </c>
      <c r="K27" s="10" t="s">
        <v>172</v>
      </c>
      <c r="L27" s="10" t="s">
        <v>173</v>
      </c>
      <c r="M27" s="10" t="n">
        <v>2</v>
      </c>
      <c r="N27" s="10" t="n">
        <v>10</v>
      </c>
    </row>
    <row r="28" customFormat="false" ht="52.2" hidden="false" customHeight="false" outlineLevel="0" collapsed="false">
      <c r="A28" s="10" t="n">
        <v>27</v>
      </c>
      <c r="B28" s="10" t="s">
        <v>174</v>
      </c>
      <c r="C28" s="10" t="s">
        <v>175</v>
      </c>
      <c r="D28" s="10" t="s">
        <v>71</v>
      </c>
      <c r="E28" s="10" t="s">
        <v>155</v>
      </c>
      <c r="F28" s="10" t="s">
        <v>40</v>
      </c>
      <c r="G28" s="12" t="n">
        <v>1</v>
      </c>
      <c r="H28" s="12" t="n">
        <v>1</v>
      </c>
      <c r="I28" s="12" t="n">
        <v>1</v>
      </c>
      <c r="J28" s="10" t="s">
        <v>176</v>
      </c>
      <c r="K28" s="10" t="s">
        <v>177</v>
      </c>
      <c r="L28" s="10" t="s">
        <v>178</v>
      </c>
      <c r="M28" s="10" t="n">
        <v>7</v>
      </c>
      <c r="N28" s="10" t="n">
        <v>8</v>
      </c>
    </row>
    <row r="29" customFormat="false" ht="52.2" hidden="false" customHeight="false" outlineLevel="0" collapsed="false">
      <c r="A29" s="10" t="n">
        <v>28</v>
      </c>
      <c r="B29" s="10" t="s">
        <v>179</v>
      </c>
      <c r="C29" s="10" t="s">
        <v>180</v>
      </c>
      <c r="D29" s="10" t="s">
        <v>71</v>
      </c>
      <c r="E29" s="10" t="s">
        <v>155</v>
      </c>
      <c r="F29" s="10" t="s">
        <v>40</v>
      </c>
      <c r="G29" s="13"/>
      <c r="H29" s="12" t="n">
        <v>1</v>
      </c>
      <c r="I29" s="12" t="n">
        <v>1</v>
      </c>
      <c r="J29" s="10" t="s">
        <v>181</v>
      </c>
      <c r="K29" s="10" t="s">
        <v>182</v>
      </c>
      <c r="L29" s="10" t="s">
        <v>183</v>
      </c>
      <c r="M29" s="10" t="n">
        <v>10</v>
      </c>
      <c r="N29" s="10" t="n">
        <v>10</v>
      </c>
    </row>
    <row r="30" customFormat="false" ht="64.9" hidden="false" customHeight="false" outlineLevel="0" collapsed="false">
      <c r="A30" s="10" t="n">
        <v>29</v>
      </c>
      <c r="B30" s="10" t="s">
        <v>184</v>
      </c>
      <c r="C30" s="10" t="s">
        <v>185</v>
      </c>
      <c r="D30" s="10" t="s">
        <v>71</v>
      </c>
      <c r="E30" s="10" t="s">
        <v>155</v>
      </c>
      <c r="F30" s="10" t="s">
        <v>114</v>
      </c>
      <c r="G30" s="12" t="n">
        <v>1</v>
      </c>
      <c r="H30" s="12" t="n">
        <v>1</v>
      </c>
      <c r="I30" s="12" t="n">
        <v>1</v>
      </c>
      <c r="J30" s="10" t="s">
        <v>186</v>
      </c>
      <c r="K30" s="10" t="s">
        <v>187</v>
      </c>
      <c r="L30" s="10" t="s">
        <v>188</v>
      </c>
      <c r="M30" s="10" t="n">
        <v>1</v>
      </c>
      <c r="N30" s="10" t="n">
        <v>9</v>
      </c>
    </row>
    <row r="31" customFormat="false" ht="52.2" hidden="false" customHeight="false" outlineLevel="0" collapsed="false">
      <c r="A31" s="10" t="n">
        <v>30</v>
      </c>
      <c r="B31" s="10" t="s">
        <v>189</v>
      </c>
      <c r="C31" s="10" t="s">
        <v>190</v>
      </c>
      <c r="D31" s="10" t="s">
        <v>77</v>
      </c>
      <c r="E31" s="10" t="s">
        <v>155</v>
      </c>
      <c r="F31" s="10" t="s">
        <v>40</v>
      </c>
      <c r="G31" s="13"/>
      <c r="H31" s="13"/>
      <c r="I31" s="13"/>
      <c r="J31" s="10" t="s">
        <v>191</v>
      </c>
      <c r="K31" s="10" t="s">
        <v>192</v>
      </c>
      <c r="L31" s="10" t="s">
        <v>193</v>
      </c>
      <c r="M31" s="10" t="n">
        <v>6</v>
      </c>
      <c r="N31" s="10" t="n">
        <v>4</v>
      </c>
    </row>
  </sheetData>
  <autoFilter ref="A1:N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2026-10-22T08:09:35Z</dcterms:created>
  <dc:creator>openpyxl</dc:creator>
  <dc:description/>
  <dc:language>en-US</dc:language>
  <cp:lastModifiedBy/>
  <dcterms:modified xsi:type="dcterms:W3CDTF">2026-10-22T08:09:35Z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